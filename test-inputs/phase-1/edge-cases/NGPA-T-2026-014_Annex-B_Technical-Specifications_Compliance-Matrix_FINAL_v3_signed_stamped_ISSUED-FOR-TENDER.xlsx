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Technical specs" state="visible" r:id="rId5"/>
    <sheet sheetId="3" name="Site constraints" state="visible" r:id="rId6"/>
    <sheet sheetId="4" name="Volumes &amp; storage" state="visible" r:id="rId7"/>
    <sheet sheetId="5" name="Workstations" state="visible" r:id="rId8"/>
    <sheet sheetId="6" name="Revision log" state="visible" r:id="rId9"/>
  </sheets>
  <calcPr calcId="171027"/>
</workbook>
</file>

<file path=xl/sharedStrings.xml><?xml version="1.0" encoding="utf-8"?>
<sst xmlns="http://schemas.openxmlformats.org/spreadsheetml/2006/main" count="541" uniqueCount="266">
  <si>
    <t>Annex B — Technical Specifications · NGPA/T/2026/014</t>
  </si>
  <si>
    <t>SAMPLE / FICTIONAL tender for software testing · Revision 0 · issued 15 September 2026</t>
  </si>
  <si>
    <t>1. This Annex prevails over the RFP main document for all technical parameters and site data (RFP §2.6.1). Addenda prevail over this Annex.</t>
  </si>
  <si>
    <t>2. Targets are given per site: T1 Gate A, T1 Gate B, T2 main gate and the relocatable unit. Where a column is blank, the requirement is system-wide.</t>
  </si>
  <si>
    <t>3. Priority: M = mandatory (pass/fail), I = important (scored), D = desirable (bonus).</t>
  </si>
  <si>
    <t>4. Bidders shall answer every row in Form F-2 (Comply / Partially comply / Not comply) with a page reference to their proposal.</t>
  </si>
  <si>
    <t>5. Storage sizing (TB-27) per RFP §4.6.3, using the volumes in sheet 'Volumes &amp; storage'.</t>
  </si>
  <si>
    <t>6. Site data in 'Site constraints' is binding (RFP §2.10.1).</t>
  </si>
  <si>
    <t>Technical specifications per site</t>
  </si>
  <si>
    <t>Rev 0 · values may be superseded by Addenda</t>
  </si>
  <si>
    <t>Ref</t>
  </si>
  <si>
    <t>Area</t>
  </si>
  <si>
    <t>Requirement</t>
  </si>
  <si>
    <t>Unit</t>
  </si>
  <si>
    <t>T1 Gate A</t>
  </si>
  <si>
    <t>T1 Gate B</t>
  </si>
  <si>
    <t>T2 main gate</t>
  </si>
  <si>
    <t>Relocatable unit</t>
  </si>
  <si>
    <t>Priority</t>
  </si>
  <si>
    <t>Verification</t>
  </si>
  <si>
    <t>Notes</t>
  </si>
  <si>
    <t>TB-01</t>
  </si>
  <si>
    <t>Imaging</t>
  </si>
  <si>
    <t>Steel penetration (ANSI N42.46-2008)</t>
  </si>
  <si>
    <t>mm</t>
  </si>
  <si>
    <t>≥ 310</t>
  </si>
  <si>
    <t>≥ 300</t>
  </si>
  <si>
    <t>≥ 280</t>
  </si>
  <si>
    <t>M</t>
  </si>
  <si>
    <t>FAT + SAT</t>
  </si>
  <si>
    <t>TB-02</t>
  </si>
  <si>
    <t>Wire detection behind 100 mm steel</t>
  </si>
  <si>
    <t>mm Cu</t>
  </si>
  <si>
    <t>≤ 1.0</t>
  </si>
  <si>
    <t>FAT</t>
  </si>
  <si>
    <t>TB-03</t>
  </si>
  <si>
    <t>Dual-energy X-ray source (material discrimination)</t>
  </si>
  <si>
    <t>—</t>
  </si>
  <si>
    <t>Dual-energy</t>
  </si>
  <si>
    <t>Datasheet</t>
  </si>
  <si>
    <t>TB-04</t>
  </si>
  <si>
    <t>Contrast sensitivity</t>
  </si>
  <si>
    <t>%</t>
  </si>
  <si>
    <t>I</t>
  </si>
  <si>
    <t>TB-05</t>
  </si>
  <si>
    <t>Material discrimination classes</t>
  </si>
  <si>
    <t>count</t>
  </si>
  <si>
    <t>≥ 4</t>
  </si>
  <si>
    <t>TB-06</t>
  </si>
  <si>
    <t>Dual-view (top + side) imaging</t>
  </si>
  <si>
    <t>Yes</t>
  </si>
  <si>
    <t>Optional</t>
  </si>
  <si>
    <t>D</t>
  </si>
  <si>
    <t>TB-07</t>
  </si>
  <si>
    <t>Throughput</t>
  </si>
  <si>
    <t>Drive-through throughput, driver remains in cab</t>
  </si>
  <si>
    <t>trucks/h</t>
  </si>
  <si>
    <t>≥ 180</t>
  </si>
  <si>
    <t>≥ 150</t>
  </si>
  <si>
    <t>SAT (4-hour test)</t>
  </si>
  <si>
    <t>TB-08</t>
  </si>
  <si>
    <t>Vehicle speed during scan (drive-through)</t>
  </si>
  <si>
    <t>km/h</t>
  </si>
  <si>
    <t>5–15</t>
  </si>
  <si>
    <t>SAT</t>
  </si>
  <si>
    <t>TB-09</t>
  </si>
  <si>
    <t>Minimum inspection tunnel (H × W)</t>
  </si>
  <si>
    <t>m</t>
  </si>
  <si>
    <t>4.6 × 3.0</t>
  </si>
  <si>
    <t>Drawing</t>
  </si>
  <si>
    <t>Must accept 45' high-cube containers on standard chassis.</t>
  </si>
  <si>
    <t>TB-10</t>
  </si>
  <si>
    <t>Safety</t>
  </si>
  <si>
    <t>High-energy beam on occupied driver cab</t>
  </si>
  <si>
    <t>Never</t>
  </si>
  <si>
    <t>Design review + SAT</t>
  </si>
  <si>
    <t>TB-11</t>
  </si>
  <si>
    <t>Driver dose per pass (only if low-dose cab scan offered)</t>
  </si>
  <si>
    <t>µSv</t>
  </si>
  <si>
    <t>≤ 0.25</t>
  </si>
  <si>
    <t>Radiation survey</t>
  </si>
  <si>
    <t>TB-12</t>
  </si>
  <si>
    <t>Annual dose at controlled-area boundary</t>
  </si>
  <si>
    <t>mSv/yr</t>
  </si>
  <si>
    <t>≤ 1</t>
  </si>
  <si>
    <t>TB-13</t>
  </si>
  <si>
    <t>Controlled area + exclusion zones fit the plot (sheet 'Site constraints')</t>
  </si>
  <si>
    <t>Layout drawing</t>
  </si>
  <si>
    <t>Bidder to submit dimensioned layout per site.</t>
  </si>
  <si>
    <t>TB-14</t>
  </si>
  <si>
    <t>Emergency stops, interlocks, beam-on warning lights and audible alarms</t>
  </si>
  <si>
    <t>TB-15</t>
  </si>
  <si>
    <t>Environment</t>
  </si>
  <si>
    <t>Continuous operating ambient temperature</t>
  </si>
  <si>
    <t>°C</t>
  </si>
  <si>
    <t>0 … +50</t>
  </si>
  <si>
    <t>Type-test certificate</t>
  </si>
  <si>
    <t>TB-16</t>
  </si>
  <si>
    <t>Relative humidity (non-condensing)</t>
  </si>
  <si>
    <t>≤ 95</t>
  </si>
  <si>
    <t>TB-17</t>
  </si>
  <si>
    <t>Outdoor electronics enclosure rating</t>
  </si>
  <si>
    <t>IP</t>
  </si>
  <si>
    <t>≥ IP54</t>
  </si>
  <si>
    <t>Certificate</t>
  </si>
  <si>
    <t>TB-18</t>
  </si>
  <si>
    <t>Steel coating corrosivity category (ISO 12944)</t>
  </si>
  <si>
    <t>C5-M</t>
  </si>
  <si>
    <t>Coating spec</t>
  </si>
  <si>
    <t>TB-19</t>
  </si>
  <si>
    <t>Wind survival speed</t>
  </si>
  <si>
    <t>120</t>
  </si>
  <si>
    <t>Structural calc.</t>
  </si>
  <si>
    <t>TB-20</t>
  </si>
  <si>
    <t>Power</t>
  </si>
  <si>
    <t>Supply voltage</t>
  </si>
  <si>
    <t>400 V ±10%, 3-ph, 50 Hz</t>
  </si>
  <si>
    <t>TB-21</t>
  </si>
  <si>
    <t>Maximum demand per system incl. HVAC and cabin</t>
  </si>
  <si>
    <t>kVA</t>
  </si>
  <si>
    <t>≤ site capacity</t>
  </si>
  <si>
    <t>Load calc.</t>
  </si>
  <si>
    <t>See RFP §3.5.2.</t>
  </si>
  <si>
    <t>TB-22</t>
  </si>
  <si>
    <t>UPS autonomy: control systems and servers</t>
  </si>
  <si>
    <t>min</t>
  </si>
  <si>
    <t>≥ 30</t>
  </si>
  <si>
    <t>Test</t>
  </si>
  <si>
    <t>TB-23</t>
  </si>
  <si>
    <t>UPS autonomy: workstations</t>
  </si>
  <si>
    <t>TB-24</t>
  </si>
  <si>
    <t>Software</t>
  </si>
  <si>
    <t>Hosting of all components (incl. licensing, telemetry, updates)</t>
  </si>
  <si>
    <t>On-premise</t>
  </si>
  <si>
    <t>Architecture doc.</t>
  </si>
  <si>
    <t>See RFP §4.6.1.</t>
  </si>
  <si>
    <t>TB-25</t>
  </si>
  <si>
    <t>Data residency</t>
  </si>
  <si>
    <t>In-country only</t>
  </si>
  <si>
    <t>TB-26</t>
  </si>
  <si>
    <t>Online retention of images + metadata</t>
  </si>
  <si>
    <t>years</t>
  </si>
  <si>
    <t>5</t>
  </si>
  <si>
    <t>Sizing calc.</t>
  </si>
  <si>
    <t>TB-27</t>
  </si>
  <si>
    <t>Usable storage capacity at CDC (after RAID/replication)</t>
  </si>
  <si>
    <t>TB</t>
  </si>
  <si>
    <t>Per RFP §4.6.3</t>
  </si>
  <si>
    <t/>
  </si>
  <si>
    <t>Bidder to state usable TB. Volumes in sheet 'Volumes &amp; storage'.</t>
  </si>
  <si>
    <t>TB-28</t>
  </si>
  <si>
    <t>DICOS (NEMA IIC 1) image export</t>
  </si>
  <si>
    <t>Demo</t>
  </si>
  <si>
    <t>TB-29</t>
  </si>
  <si>
    <t>Integration</t>
  </si>
  <si>
    <t>CRMS bidirectional REST/JSON</t>
  </si>
  <si>
    <t>Integration test</t>
  </si>
  <si>
    <t>TB-30</t>
  </si>
  <si>
    <t>TOS: UN/EDIFACT COPARN/CODECO or REST</t>
  </si>
  <si>
    <t>TB-31</t>
  </si>
  <si>
    <t>OCR container number (ISO 6346 incl. check digit)</t>
  </si>
  <si>
    <t>% correct</t>
  </si>
  <si>
    <t>≥ 98</t>
  </si>
  <si>
    <t>SAT (7-day)</t>
  </si>
  <si>
    <t>TB-32</t>
  </si>
  <si>
    <t>OCR licence plates, Arabic + Latin</t>
  </si>
  <si>
    <t>TB-33</t>
  </si>
  <si>
    <t>Scan-to-analyst-decision time, 90th percentile</t>
  </si>
  <si>
    <t>≤ 3</t>
  </si>
  <si>
    <t>Trial operation</t>
  </si>
  <si>
    <t>TB-34</t>
  </si>
  <si>
    <t>Security</t>
  </si>
  <si>
    <t>AD via LDAPS, RBAC, MFA for administrators</t>
  </si>
  <si>
    <t>Security test</t>
  </si>
  <si>
    <t>TB-35</t>
  </si>
  <si>
    <t>Tamper-evident audit log retention</t>
  </si>
  <si>
    <t>Config review</t>
  </si>
  <si>
    <t>TB-36</t>
  </si>
  <si>
    <t>Encryption at rest / in transit</t>
  </si>
  <si>
    <t>AES-256 / TLS ≥ 1.2</t>
  </si>
  <si>
    <t>TB-37</t>
  </si>
  <si>
    <t>Vendor remote access</t>
  </si>
  <si>
    <t>Employer VPN, per session, recorded</t>
  </si>
  <si>
    <t>Procedure</t>
  </si>
  <si>
    <t>TB-38</t>
  </si>
  <si>
    <t>UI</t>
  </si>
  <si>
    <t>Operator/analyst UI languages</t>
  </si>
  <si>
    <t>Arabic + English</t>
  </si>
  <si>
    <t>TB-39</t>
  </si>
  <si>
    <t>Hijri + Gregorian date display</t>
  </si>
  <si>
    <t>TB-40</t>
  </si>
  <si>
    <t>Workstations</t>
  </si>
  <si>
    <t>Monitors per workstation</t>
  </si>
  <si>
    <t>2 × 27", ≥ 2560×1440</t>
  </si>
  <si>
    <t>TB-41</t>
  </si>
  <si>
    <t>Total quantity (see sheet 'Workstations')</t>
  </si>
  <si>
    <t>pcs</t>
  </si>
  <si>
    <t>24 (total)</t>
  </si>
  <si>
    <t>Delivery note</t>
  </si>
  <si>
    <t>TB-42</t>
  </si>
  <si>
    <t>Relocation</t>
  </si>
  <si>
    <t>Relocation time between T1 and T2 incl. re-commissioning</t>
  </si>
  <si>
    <t>hours</t>
  </si>
  <si>
    <t>≤ 72</t>
  </si>
  <si>
    <t>Demonstration</t>
  </si>
  <si>
    <t>TB-43</t>
  </si>
  <si>
    <t>Support</t>
  </si>
  <si>
    <t>Availability per scanner per calendar month</t>
  </si>
  <si>
    <t>Monthly report</t>
  </si>
  <si>
    <t>TB-44</t>
  </si>
  <si>
    <t>On-site response time, 24/7</t>
  </si>
  <si>
    <t>≤ 24</t>
  </si>
  <si>
    <t>SLA</t>
  </si>
  <si>
    <t>TB-45</t>
  </si>
  <si>
    <t>Spare parts availability after PAC</t>
  </si>
  <si>
    <t>≥ 10</t>
  </si>
  <si>
    <t>Undertaking</t>
  </si>
  <si>
    <t>Site constraints (binding)</t>
  </si>
  <si>
    <t>Controlled area incl. shielding and exclusion zones must fit within the plot (TB-13). Power capacity applies to TB-21.</t>
  </si>
  <si>
    <t>Site</t>
  </si>
  <si>
    <t>Plot length (m)</t>
  </si>
  <si>
    <t>Plot width (m)</t>
  </si>
  <si>
    <t>Power available (kVA)</t>
  </si>
  <si>
    <t>Supply point</t>
  </si>
  <si>
    <t>Cable distance (m)</t>
  </si>
  <si>
    <t>Ground</t>
  </si>
  <si>
    <t>SS-T1A</t>
  </si>
  <si>
    <t>Reinforced concrete pavement</t>
  </si>
  <si>
    <t>SS-T1B</t>
  </si>
  <si>
    <t>T2-SS2</t>
  </si>
  <si>
    <t>Asphalt over compacted fill (geotechnical survey required)</t>
  </si>
  <si>
    <t>Plot cannot be extended: customs building to the north, live Ro-Ro lane to the south (Annex A-2).</t>
  </si>
  <si>
    <t>Relocatable: T1 pad</t>
  </si>
  <si>
    <t>SS-T1C (temporary)</t>
  </si>
  <si>
    <t>Concrete pad</t>
  </si>
  <si>
    <t>Diesel generator permitted if demand exceeds 160 kVA (Bidder's supply).</t>
  </si>
  <si>
    <t>Relocatable: T2 pad</t>
  </si>
  <si>
    <t>T2-SS1</t>
  </si>
  <si>
    <t>Generator permitted.</t>
  </si>
  <si>
    <t>Expected volumes (2028)</t>
  </si>
  <si>
    <t>Planning volumes for storage sizing (RFP §4.6.3).</t>
  </si>
  <si>
    <t>Scans per day</t>
  </si>
  <si>
    <t>Operating days / year</t>
  </si>
  <si>
    <t>Scans per year</t>
  </si>
  <si>
    <t>Total scans per year</t>
  </si>
  <si>
    <t>Average data per scan: both views + metadata (MB)</t>
  </si>
  <si>
    <t>Online retention (years)</t>
  </si>
  <si>
    <t>Workstation allocation (Rev 0)</t>
  </si>
  <si>
    <t>Quantities as issued with the RFP.</t>
  </si>
  <si>
    <t>Location</t>
  </si>
  <si>
    <t>Quantity</t>
  </si>
  <si>
    <t>Purpose</t>
  </si>
  <si>
    <t>CIAC (Customs Data Center)</t>
  </si>
  <si>
    <t>Central image analysis</t>
  </si>
  <si>
    <t>T1 operator cabins</t>
  </si>
  <si>
    <t>Operation + local analysis</t>
  </si>
  <si>
    <t>T2 operator cabin</t>
  </si>
  <si>
    <t>Spare / mobile</t>
  </si>
  <si>
    <t>Relocatable unit and spares</t>
  </si>
  <si>
    <t>Total</t>
  </si>
  <si>
    <t>Revision log</t>
  </si>
  <si>
    <t>Rev</t>
  </si>
  <si>
    <t>Date</t>
  </si>
  <si>
    <t>Change</t>
  </si>
  <si>
    <t>15 Sep 2026</t>
  </si>
  <si>
    <t>First issue with the RFP.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</si>
</sst>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3304D"/>
      <sz val="14"/>
    </font>
    <font>
      <i/>
      <color rgb="FF5C6774"/>
      <sz val="9"/>
    </font>
    <font>
      <b/>
      <color rgb="FFFFFFFF"/>
    </font>
    <font>
      <b/>
      <color rgb="FFA12A20"/>
    </font>
    <font>
      <b/>
      <color rgb="FF8A4F00"/>
    </font>
    <font>
      <b/>
      <color rgb="FF1F5FA8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3304D"/>
      </patternFill>
    </fill>
    <fill>
      <patternFill patternType="solid">
        <fgColor rgb="FFF7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top"/>
    </xf>
    <xf numFmtId="0" fontId="0" fillId="3" borderId="0" xfId="0" applyFill="1" applyAlignment="1">
      <alignment vertical="top" wrapText="1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0" borderId="0" xfId="0" applyFont="1" applyAlignment="1">
      <alignment horizontal="center" vertical="top"/>
    </xf>
    <xf numFmtId="3" fontId="0" fillId="0" borderId="0" xfId="0" applyNumberFormat="1"/>
    <xf numFmtId="3" fontId="3" fillId="2" borderId="0" xfId="0" applyNumberFormat="1" applyFont="1" applyFill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C7B"/>
  </sheetPr>
  <dimension ref="A1:A9"/>
  <sheetFormatPr defaultRowHeight="15" outlineLevelRow="0" outlineLevelCol="0" x14ac:dyDescent="55"/>
  <cols>
    <col min="1" max="1" width="13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2" max="2" width="12" customWidth="1"/>
    <col min="3" max="3" width="46" customWidth="1"/>
    <col min="5" max="8" width="18" customWidth="1"/>
    <col min="10" max="10" width="18" customWidth="1"/>
    <col min="11" max="11" width="52" customWidth="1"/>
  </cols>
  <sheetData>
    <row r="1" spans="1:1" x14ac:dyDescent="0.25">
      <c r="A1" s="1" t="s">
        <v>8</v>
      </c>
    </row>
    <row r="2" spans="1:1" x14ac:dyDescent="0.25">
      <c r="A2" s="2" t="s">
        <v>9</v>
      </c>
    </row>
    <row r="4" ht="30" customHeight="1" spans="1:11" x14ac:dyDescent="0.2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</row>
    <row r="5" spans="1:10" s="5" customFormat="1" x14ac:dyDescent="0.25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25</v>
      </c>
      <c r="G5" s="5" t="s">
        <v>26</v>
      </c>
      <c r="H5" s="5" t="s">
        <v>27</v>
      </c>
      <c r="I5" s="6" t="s">
        <v>28</v>
      </c>
      <c r="J5" s="5" t="s">
        <v>29</v>
      </c>
    </row>
    <row r="6" spans="1:10" s="5" customFormat="1" x14ac:dyDescent="0.25">
      <c r="A6" s="7" t="s">
        <v>30</v>
      </c>
      <c r="B6" s="7" t="s">
        <v>22</v>
      </c>
      <c r="C6" s="7" t="s">
        <v>31</v>
      </c>
      <c r="D6" s="7" t="s">
        <v>32</v>
      </c>
      <c r="E6" s="7" t="s">
        <v>33</v>
      </c>
      <c r="F6" s="7" t="s">
        <v>33</v>
      </c>
      <c r="G6" s="7" t="s">
        <v>33</v>
      </c>
      <c r="H6" s="7" t="s">
        <v>33</v>
      </c>
      <c r="I6" s="8" t="s">
        <v>28</v>
      </c>
      <c r="J6" s="7" t="s">
        <v>34</v>
      </c>
    </row>
    <row r="7" spans="1:10" s="5" customFormat="1" x14ac:dyDescent="0.25">
      <c r="A7" s="5" t="s">
        <v>35</v>
      </c>
      <c r="B7" s="5" t="s">
        <v>22</v>
      </c>
      <c r="C7" s="5" t="s">
        <v>36</v>
      </c>
      <c r="D7" s="5" t="s">
        <v>37</v>
      </c>
      <c r="E7" s="5" t="s">
        <v>38</v>
      </c>
      <c r="F7" s="5" t="s">
        <v>38</v>
      </c>
      <c r="G7" s="5" t="s">
        <v>38</v>
      </c>
      <c r="H7" s="5" t="s">
        <v>38</v>
      </c>
      <c r="I7" s="6" t="s">
        <v>28</v>
      </c>
      <c r="J7" s="5" t="s">
        <v>39</v>
      </c>
    </row>
    <row r="8" spans="1:10" s="5" customFormat="1" x14ac:dyDescent="0.25">
      <c r="A8" s="7" t="s">
        <v>40</v>
      </c>
      <c r="B8" s="7" t="s">
        <v>22</v>
      </c>
      <c r="C8" s="7" t="s">
        <v>41</v>
      </c>
      <c r="D8" s="7" t="s">
        <v>42</v>
      </c>
      <c r="E8" s="7" t="s">
        <v>33</v>
      </c>
      <c r="F8" s="7" t="s">
        <v>33</v>
      </c>
      <c r="G8" s="7" t="s">
        <v>33</v>
      </c>
      <c r="H8" s="7" t="s">
        <v>33</v>
      </c>
      <c r="I8" s="9" t="s">
        <v>43</v>
      </c>
      <c r="J8" s="7" t="s">
        <v>34</v>
      </c>
    </row>
    <row r="9" spans="1:10" s="5" customFormat="1" x14ac:dyDescent="0.25">
      <c r="A9" s="5" t="s">
        <v>44</v>
      </c>
      <c r="B9" s="5" t="s">
        <v>22</v>
      </c>
      <c r="C9" s="5" t="s">
        <v>45</v>
      </c>
      <c r="D9" s="5" t="s">
        <v>46</v>
      </c>
      <c r="E9" s="5" t="s">
        <v>47</v>
      </c>
      <c r="F9" s="5" t="s">
        <v>47</v>
      </c>
      <c r="G9" s="5" t="s">
        <v>47</v>
      </c>
      <c r="H9" s="5" t="s">
        <v>47</v>
      </c>
      <c r="I9" s="10" t="s">
        <v>43</v>
      </c>
      <c r="J9" s="5" t="s">
        <v>34</v>
      </c>
    </row>
    <row r="10" spans="1:10" s="5" customFormat="1" x14ac:dyDescent="0.25">
      <c r="A10" s="7" t="s">
        <v>48</v>
      </c>
      <c r="B10" s="7" t="s">
        <v>22</v>
      </c>
      <c r="C10" s="7" t="s">
        <v>49</v>
      </c>
      <c r="D10" s="7" t="s">
        <v>37</v>
      </c>
      <c r="E10" s="7" t="s">
        <v>50</v>
      </c>
      <c r="F10" s="7" t="s">
        <v>50</v>
      </c>
      <c r="G10" s="7" t="s">
        <v>50</v>
      </c>
      <c r="H10" s="7" t="s">
        <v>51</v>
      </c>
      <c r="I10" s="11" t="s">
        <v>52</v>
      </c>
      <c r="J10" s="7" t="s">
        <v>39</v>
      </c>
    </row>
    <row r="11" spans="1:10" s="5" customFormat="1" x14ac:dyDescent="0.25">
      <c r="A11" s="5" t="s">
        <v>53</v>
      </c>
      <c r="B11" s="5" t="s">
        <v>54</v>
      </c>
      <c r="C11" s="5" t="s">
        <v>55</v>
      </c>
      <c r="D11" s="5" t="s">
        <v>56</v>
      </c>
      <c r="E11" s="5" t="s">
        <v>57</v>
      </c>
      <c r="F11" s="5" t="s">
        <v>58</v>
      </c>
      <c r="G11" s="5" t="s">
        <v>58</v>
      </c>
      <c r="H11" s="5" t="s">
        <v>58</v>
      </c>
      <c r="I11" s="6" t="s">
        <v>28</v>
      </c>
      <c r="J11" s="5" t="s">
        <v>59</v>
      </c>
    </row>
    <row r="12" spans="1:10" s="5" customFormat="1" x14ac:dyDescent="0.25">
      <c r="A12" s="7" t="s">
        <v>60</v>
      </c>
      <c r="B12" s="7" t="s">
        <v>54</v>
      </c>
      <c r="C12" s="7" t="s">
        <v>61</v>
      </c>
      <c r="D12" s="7" t="s">
        <v>62</v>
      </c>
      <c r="E12" s="7" t="s">
        <v>63</v>
      </c>
      <c r="F12" s="7" t="s">
        <v>63</v>
      </c>
      <c r="G12" s="7" t="s">
        <v>63</v>
      </c>
      <c r="H12" s="7" t="s">
        <v>63</v>
      </c>
      <c r="I12" s="9" t="s">
        <v>43</v>
      </c>
      <c r="J12" s="7" t="s">
        <v>64</v>
      </c>
    </row>
    <row r="13" spans="1:11" s="5" customFormat="1" x14ac:dyDescent="0.25">
      <c r="A13" s="5" t="s">
        <v>65</v>
      </c>
      <c r="B13" s="5" t="s">
        <v>54</v>
      </c>
      <c r="C13" s="5" t="s">
        <v>66</v>
      </c>
      <c r="D13" s="5" t="s">
        <v>67</v>
      </c>
      <c r="E13" s="5" t="s">
        <v>68</v>
      </c>
      <c r="F13" s="5" t="s">
        <v>68</v>
      </c>
      <c r="G13" s="5" t="s">
        <v>68</v>
      </c>
      <c r="H13" s="5" t="s">
        <v>68</v>
      </c>
      <c r="I13" s="6" t="s">
        <v>28</v>
      </c>
      <c r="J13" s="5" t="s">
        <v>69</v>
      </c>
      <c r="K13" s="5" t="s">
        <v>70</v>
      </c>
    </row>
    <row r="14" spans="1:10" s="5" customFormat="1" x14ac:dyDescent="0.25">
      <c r="A14" s="7" t="s">
        <v>71</v>
      </c>
      <c r="B14" s="7" t="s">
        <v>72</v>
      </c>
      <c r="C14" s="7" t="s">
        <v>73</v>
      </c>
      <c r="D14" s="7" t="s">
        <v>37</v>
      </c>
      <c r="E14" s="7" t="s">
        <v>74</v>
      </c>
      <c r="F14" s="7" t="s">
        <v>74</v>
      </c>
      <c r="G14" s="7" t="s">
        <v>74</v>
      </c>
      <c r="H14" s="7" t="s">
        <v>74</v>
      </c>
      <c r="I14" s="8" t="s">
        <v>28</v>
      </c>
      <c r="J14" s="7" t="s">
        <v>75</v>
      </c>
    </row>
    <row r="15" spans="1:10" s="5" customFormat="1" x14ac:dyDescent="0.25">
      <c r="A15" s="5" t="s">
        <v>76</v>
      </c>
      <c r="B15" s="5" t="s">
        <v>72</v>
      </c>
      <c r="C15" s="5" t="s">
        <v>77</v>
      </c>
      <c r="D15" s="5" t="s">
        <v>78</v>
      </c>
      <c r="E15" s="5" t="s">
        <v>79</v>
      </c>
      <c r="F15" s="5" t="s">
        <v>79</v>
      </c>
      <c r="G15" s="5" t="s">
        <v>79</v>
      </c>
      <c r="H15" s="5" t="s">
        <v>79</v>
      </c>
      <c r="I15" s="6" t="s">
        <v>28</v>
      </c>
      <c r="J15" s="5" t="s">
        <v>80</v>
      </c>
    </row>
    <row r="16" spans="1:10" s="5" customFormat="1" x14ac:dyDescent="0.25">
      <c r="A16" s="7" t="s">
        <v>81</v>
      </c>
      <c r="B16" s="7" t="s">
        <v>72</v>
      </c>
      <c r="C16" s="7" t="s">
        <v>82</v>
      </c>
      <c r="D16" s="7" t="s">
        <v>83</v>
      </c>
      <c r="E16" s="7" t="s">
        <v>84</v>
      </c>
      <c r="F16" s="7" t="s">
        <v>84</v>
      </c>
      <c r="G16" s="7" t="s">
        <v>84</v>
      </c>
      <c r="H16" s="7" t="s">
        <v>84</v>
      </c>
      <c r="I16" s="8" t="s">
        <v>28</v>
      </c>
      <c r="J16" s="7" t="s">
        <v>80</v>
      </c>
    </row>
    <row r="17" spans="1:11" s="5" customFormat="1" x14ac:dyDescent="0.25">
      <c r="A17" s="5" t="s">
        <v>85</v>
      </c>
      <c r="B17" s="5" t="s">
        <v>72</v>
      </c>
      <c r="C17" s="5" t="s">
        <v>86</v>
      </c>
      <c r="D17" s="5" t="s">
        <v>37</v>
      </c>
      <c r="E17" s="5" t="s">
        <v>50</v>
      </c>
      <c r="F17" s="5" t="s">
        <v>50</v>
      </c>
      <c r="G17" s="5" t="s">
        <v>50</v>
      </c>
      <c r="H17" s="5" t="s">
        <v>50</v>
      </c>
      <c r="I17" s="6" t="s">
        <v>28</v>
      </c>
      <c r="J17" s="5" t="s">
        <v>87</v>
      </c>
      <c r="K17" s="5" t="s">
        <v>88</v>
      </c>
    </row>
    <row r="18" spans="1:10" s="5" customFormat="1" x14ac:dyDescent="0.25">
      <c r="A18" s="7" t="s">
        <v>89</v>
      </c>
      <c r="B18" s="7" t="s">
        <v>72</v>
      </c>
      <c r="C18" s="7" t="s">
        <v>90</v>
      </c>
      <c r="D18" s="7" t="s">
        <v>37</v>
      </c>
      <c r="E18" s="7" t="s">
        <v>50</v>
      </c>
      <c r="F18" s="7" t="s">
        <v>50</v>
      </c>
      <c r="G18" s="7" t="s">
        <v>50</v>
      </c>
      <c r="H18" s="7" t="s">
        <v>50</v>
      </c>
      <c r="I18" s="8" t="s">
        <v>28</v>
      </c>
      <c r="J18" s="7" t="s">
        <v>64</v>
      </c>
    </row>
    <row r="19" spans="1:10" s="5" customFormat="1" x14ac:dyDescent="0.25">
      <c r="A19" s="5" t="s">
        <v>91</v>
      </c>
      <c r="B19" s="5" t="s">
        <v>92</v>
      </c>
      <c r="C19" s="5" t="s">
        <v>93</v>
      </c>
      <c r="D19" s="5" t="s">
        <v>94</v>
      </c>
      <c r="E19" s="5" t="s">
        <v>95</v>
      </c>
      <c r="F19" s="5" t="s">
        <v>95</v>
      </c>
      <c r="G19" s="5" t="s">
        <v>95</v>
      </c>
      <c r="H19" s="5" t="s">
        <v>95</v>
      </c>
      <c r="I19" s="6" t="s">
        <v>28</v>
      </c>
      <c r="J19" s="5" t="s">
        <v>96</v>
      </c>
    </row>
    <row r="20" spans="1:10" s="5" customFormat="1" x14ac:dyDescent="0.25">
      <c r="A20" s="7" t="s">
        <v>97</v>
      </c>
      <c r="B20" s="7" t="s">
        <v>92</v>
      </c>
      <c r="C20" s="7" t="s">
        <v>98</v>
      </c>
      <c r="D20" s="7" t="s">
        <v>42</v>
      </c>
      <c r="E20" s="7" t="s">
        <v>99</v>
      </c>
      <c r="F20" s="7" t="s">
        <v>99</v>
      </c>
      <c r="G20" s="7" t="s">
        <v>99</v>
      </c>
      <c r="H20" s="7" t="s">
        <v>99</v>
      </c>
      <c r="I20" s="8" t="s">
        <v>28</v>
      </c>
      <c r="J20" s="7" t="s">
        <v>96</v>
      </c>
    </row>
    <row r="21" spans="1:10" s="5" customFormat="1" x14ac:dyDescent="0.25">
      <c r="A21" s="5" t="s">
        <v>100</v>
      </c>
      <c r="B21" s="5" t="s">
        <v>92</v>
      </c>
      <c r="C21" s="5" t="s">
        <v>101</v>
      </c>
      <c r="D21" s="5" t="s">
        <v>102</v>
      </c>
      <c r="E21" s="5" t="s">
        <v>103</v>
      </c>
      <c r="F21" s="5" t="s">
        <v>103</v>
      </c>
      <c r="G21" s="5" t="s">
        <v>103</v>
      </c>
      <c r="H21" s="5" t="s">
        <v>103</v>
      </c>
      <c r="I21" s="6" t="s">
        <v>28</v>
      </c>
      <c r="J21" s="5" t="s">
        <v>104</v>
      </c>
    </row>
    <row r="22" spans="1:10" s="5" customFormat="1" x14ac:dyDescent="0.25">
      <c r="A22" s="7" t="s">
        <v>105</v>
      </c>
      <c r="B22" s="7" t="s">
        <v>92</v>
      </c>
      <c r="C22" s="7" t="s">
        <v>106</v>
      </c>
      <c r="D22" s="7" t="s">
        <v>37</v>
      </c>
      <c r="E22" s="7" t="s">
        <v>107</v>
      </c>
      <c r="F22" s="7" t="s">
        <v>107</v>
      </c>
      <c r="G22" s="7" t="s">
        <v>107</v>
      </c>
      <c r="H22" s="7" t="s">
        <v>107</v>
      </c>
      <c r="I22" s="9" t="s">
        <v>43</v>
      </c>
      <c r="J22" s="7" t="s">
        <v>108</v>
      </c>
    </row>
    <row r="23" spans="1:10" s="5" customFormat="1" x14ac:dyDescent="0.25">
      <c r="A23" s="5" t="s">
        <v>109</v>
      </c>
      <c r="B23" s="5" t="s">
        <v>92</v>
      </c>
      <c r="C23" s="5" t="s">
        <v>110</v>
      </c>
      <c r="D23" s="5" t="s">
        <v>62</v>
      </c>
      <c r="E23" s="5" t="s">
        <v>111</v>
      </c>
      <c r="F23" s="5" t="s">
        <v>111</v>
      </c>
      <c r="G23" s="5" t="s">
        <v>111</v>
      </c>
      <c r="H23" s="5" t="s">
        <v>111</v>
      </c>
      <c r="I23" s="10" t="s">
        <v>43</v>
      </c>
      <c r="J23" s="5" t="s">
        <v>112</v>
      </c>
    </row>
    <row r="24" spans="1:10" s="5" customFormat="1" x14ac:dyDescent="0.25">
      <c r="A24" s="7" t="s">
        <v>113</v>
      </c>
      <c r="B24" s="7" t="s">
        <v>114</v>
      </c>
      <c r="C24" s="7" t="s">
        <v>115</v>
      </c>
      <c r="D24" s="7" t="s">
        <v>37</v>
      </c>
      <c r="E24" s="7" t="s">
        <v>116</v>
      </c>
      <c r="F24" s="7" t="s">
        <v>116</v>
      </c>
      <c r="G24" s="7" t="s">
        <v>116</v>
      </c>
      <c r="H24" s="7" t="s">
        <v>116</v>
      </c>
      <c r="I24" s="8" t="s">
        <v>28</v>
      </c>
      <c r="J24" s="7" t="s">
        <v>39</v>
      </c>
    </row>
    <row r="25" spans="1:11" s="5" customFormat="1" x14ac:dyDescent="0.25">
      <c r="A25" s="5" t="s">
        <v>117</v>
      </c>
      <c r="B25" s="5" t="s">
        <v>114</v>
      </c>
      <c r="C25" s="5" t="s">
        <v>118</v>
      </c>
      <c r="D25" s="5" t="s">
        <v>119</v>
      </c>
      <c r="E25" s="5" t="s">
        <v>120</v>
      </c>
      <c r="F25" s="5" t="s">
        <v>120</v>
      </c>
      <c r="G25" s="5" t="s">
        <v>120</v>
      </c>
      <c r="H25" s="5" t="s">
        <v>120</v>
      </c>
      <c r="I25" s="6" t="s">
        <v>28</v>
      </c>
      <c r="J25" s="5" t="s">
        <v>121</v>
      </c>
      <c r="K25" s="5" t="s">
        <v>122</v>
      </c>
    </row>
    <row r="26" spans="1:10" s="5" customFormat="1" x14ac:dyDescent="0.25">
      <c r="A26" s="7" t="s">
        <v>123</v>
      </c>
      <c r="B26" s="7" t="s">
        <v>114</v>
      </c>
      <c r="C26" s="7" t="s">
        <v>124</v>
      </c>
      <c r="D26" s="7" t="s">
        <v>125</v>
      </c>
      <c r="E26" s="7" t="s">
        <v>126</v>
      </c>
      <c r="F26" s="7" t="s">
        <v>126</v>
      </c>
      <c r="G26" s="7" t="s">
        <v>126</v>
      </c>
      <c r="H26" s="7" t="s">
        <v>126</v>
      </c>
      <c r="I26" s="8" t="s">
        <v>28</v>
      </c>
      <c r="J26" s="7" t="s">
        <v>127</v>
      </c>
    </row>
    <row r="27" spans="1:10" s="5" customFormat="1" x14ac:dyDescent="0.25">
      <c r="A27" s="5" t="s">
        <v>128</v>
      </c>
      <c r="B27" s="5" t="s">
        <v>114</v>
      </c>
      <c r="C27" s="5" t="s">
        <v>129</v>
      </c>
      <c r="D27" s="5" t="s">
        <v>125</v>
      </c>
      <c r="E27" s="5" t="s">
        <v>126</v>
      </c>
      <c r="F27" s="5" t="s">
        <v>126</v>
      </c>
      <c r="G27" s="5" t="s">
        <v>126</v>
      </c>
      <c r="H27" s="5" t="s">
        <v>126</v>
      </c>
      <c r="I27" s="6" t="s">
        <v>28</v>
      </c>
      <c r="J27" s="5" t="s">
        <v>127</v>
      </c>
    </row>
    <row r="28" spans="1:11" s="5" customFormat="1" x14ac:dyDescent="0.25">
      <c r="A28" s="7" t="s">
        <v>130</v>
      </c>
      <c r="B28" s="7" t="s">
        <v>131</v>
      </c>
      <c r="C28" s="7" t="s">
        <v>132</v>
      </c>
      <c r="D28" s="7" t="s">
        <v>37</v>
      </c>
      <c r="E28" s="7" t="s">
        <v>133</v>
      </c>
      <c r="F28" s="7" t="s">
        <v>133</v>
      </c>
      <c r="G28" s="7" t="s">
        <v>133</v>
      </c>
      <c r="H28" s="7" t="s">
        <v>133</v>
      </c>
      <c r="I28" s="8" t="s">
        <v>28</v>
      </c>
      <c r="J28" s="7" t="s">
        <v>134</v>
      </c>
      <c r="K28" s="7" t="s">
        <v>135</v>
      </c>
    </row>
    <row r="29" spans="1:10" s="5" customFormat="1" x14ac:dyDescent="0.25">
      <c r="A29" s="5" t="s">
        <v>136</v>
      </c>
      <c r="B29" s="5" t="s">
        <v>131</v>
      </c>
      <c r="C29" s="5" t="s">
        <v>137</v>
      </c>
      <c r="D29" s="5" t="s">
        <v>37</v>
      </c>
      <c r="E29" s="5" t="s">
        <v>138</v>
      </c>
      <c r="F29" s="5" t="s">
        <v>138</v>
      </c>
      <c r="G29" s="5" t="s">
        <v>138</v>
      </c>
      <c r="H29" s="5" t="s">
        <v>138</v>
      </c>
      <c r="I29" s="6" t="s">
        <v>28</v>
      </c>
      <c r="J29" s="5" t="s">
        <v>134</v>
      </c>
    </row>
    <row r="30" spans="1:10" s="5" customFormat="1" x14ac:dyDescent="0.25">
      <c r="A30" s="7" t="s">
        <v>139</v>
      </c>
      <c r="B30" s="7" t="s">
        <v>131</v>
      </c>
      <c r="C30" s="7" t="s">
        <v>140</v>
      </c>
      <c r="D30" s="7" t="s">
        <v>141</v>
      </c>
      <c r="E30" s="7" t="s">
        <v>142</v>
      </c>
      <c r="F30" s="7" t="s">
        <v>142</v>
      </c>
      <c r="G30" s="7" t="s">
        <v>142</v>
      </c>
      <c r="H30" s="7" t="s">
        <v>142</v>
      </c>
      <c r="I30" s="8" t="s">
        <v>28</v>
      </c>
      <c r="J30" s="7" t="s">
        <v>143</v>
      </c>
    </row>
    <row r="31" spans="1:11" s="5" customFormat="1" x14ac:dyDescent="0.25">
      <c r="A31" s="5" t="s">
        <v>144</v>
      </c>
      <c r="B31" s="5" t="s">
        <v>131</v>
      </c>
      <c r="C31" s="5" t="s">
        <v>145</v>
      </c>
      <c r="D31" s="5" t="s">
        <v>146</v>
      </c>
      <c r="E31" s="5" t="s">
        <v>147</v>
      </c>
      <c r="F31" s="5" t="s">
        <v>148</v>
      </c>
      <c r="G31" s="5" t="s">
        <v>148</v>
      </c>
      <c r="H31" s="5" t="s">
        <v>148</v>
      </c>
      <c r="I31" s="6" t="s">
        <v>28</v>
      </c>
      <c r="J31" s="5" t="s">
        <v>143</v>
      </c>
      <c r="K31" s="5" t="s">
        <v>149</v>
      </c>
    </row>
    <row r="32" spans="1:10" s="5" customFormat="1" x14ac:dyDescent="0.25">
      <c r="A32" s="7" t="s">
        <v>150</v>
      </c>
      <c r="B32" s="7" t="s">
        <v>131</v>
      </c>
      <c r="C32" s="7" t="s">
        <v>151</v>
      </c>
      <c r="D32" s="7" t="s">
        <v>37</v>
      </c>
      <c r="E32" s="7" t="s">
        <v>50</v>
      </c>
      <c r="F32" s="7" t="s">
        <v>50</v>
      </c>
      <c r="G32" s="7" t="s">
        <v>50</v>
      </c>
      <c r="H32" s="7" t="s">
        <v>50</v>
      </c>
      <c r="I32" s="9" t="s">
        <v>43</v>
      </c>
      <c r="J32" s="7" t="s">
        <v>152</v>
      </c>
    </row>
    <row r="33" spans="1:10" s="5" customFormat="1" x14ac:dyDescent="0.25">
      <c r="A33" s="5" t="s">
        <v>153</v>
      </c>
      <c r="B33" s="5" t="s">
        <v>154</v>
      </c>
      <c r="C33" s="5" t="s">
        <v>155</v>
      </c>
      <c r="D33" s="5" t="s">
        <v>37</v>
      </c>
      <c r="E33" s="5" t="s">
        <v>50</v>
      </c>
      <c r="F33" s="5" t="s">
        <v>50</v>
      </c>
      <c r="G33" s="5" t="s">
        <v>50</v>
      </c>
      <c r="H33" s="5" t="s">
        <v>50</v>
      </c>
      <c r="I33" s="6" t="s">
        <v>28</v>
      </c>
      <c r="J33" s="5" t="s">
        <v>156</v>
      </c>
    </row>
    <row r="34" spans="1:10" s="5" customFormat="1" x14ac:dyDescent="0.25">
      <c r="A34" s="7" t="s">
        <v>157</v>
      </c>
      <c r="B34" s="7" t="s">
        <v>154</v>
      </c>
      <c r="C34" s="7" t="s">
        <v>158</v>
      </c>
      <c r="D34" s="7" t="s">
        <v>37</v>
      </c>
      <c r="E34" s="7" t="s">
        <v>50</v>
      </c>
      <c r="F34" s="7" t="s">
        <v>50</v>
      </c>
      <c r="G34" s="7" t="s">
        <v>50</v>
      </c>
      <c r="H34" s="7" t="s">
        <v>50</v>
      </c>
      <c r="I34" s="8" t="s">
        <v>28</v>
      </c>
      <c r="J34" s="7" t="s">
        <v>156</v>
      </c>
    </row>
    <row r="35" spans="1:10" s="5" customFormat="1" x14ac:dyDescent="0.25">
      <c r="A35" s="5" t="s">
        <v>159</v>
      </c>
      <c r="B35" s="5" t="s">
        <v>154</v>
      </c>
      <c r="C35" s="5" t="s">
        <v>160</v>
      </c>
      <c r="D35" s="5" t="s">
        <v>161</v>
      </c>
      <c r="E35" s="5" t="s">
        <v>162</v>
      </c>
      <c r="F35" s="5" t="s">
        <v>162</v>
      </c>
      <c r="G35" s="5" t="s">
        <v>162</v>
      </c>
      <c r="H35" s="5" t="s">
        <v>162</v>
      </c>
      <c r="I35" s="6" t="s">
        <v>28</v>
      </c>
      <c r="J35" s="5" t="s">
        <v>163</v>
      </c>
    </row>
    <row r="36" spans="1:10" s="5" customFormat="1" x14ac:dyDescent="0.25">
      <c r="A36" s="7" t="s">
        <v>164</v>
      </c>
      <c r="B36" s="7" t="s">
        <v>154</v>
      </c>
      <c r="C36" s="7" t="s">
        <v>165</v>
      </c>
      <c r="D36" s="7" t="s">
        <v>161</v>
      </c>
      <c r="E36" s="7" t="s">
        <v>162</v>
      </c>
      <c r="F36" s="7" t="s">
        <v>162</v>
      </c>
      <c r="G36" s="7" t="s">
        <v>162</v>
      </c>
      <c r="H36" s="7" t="s">
        <v>162</v>
      </c>
      <c r="I36" s="8" t="s">
        <v>28</v>
      </c>
      <c r="J36" s="7" t="s">
        <v>163</v>
      </c>
    </row>
    <row r="37" spans="1:10" s="5" customFormat="1" x14ac:dyDescent="0.25">
      <c r="A37" s="5" t="s">
        <v>166</v>
      </c>
      <c r="B37" s="5" t="s">
        <v>154</v>
      </c>
      <c r="C37" s="5" t="s">
        <v>167</v>
      </c>
      <c r="D37" s="5" t="s">
        <v>125</v>
      </c>
      <c r="E37" s="5" t="s">
        <v>168</v>
      </c>
      <c r="F37" s="5" t="s">
        <v>168</v>
      </c>
      <c r="G37" s="5" t="s">
        <v>168</v>
      </c>
      <c r="H37" s="5" t="s">
        <v>168</v>
      </c>
      <c r="I37" s="10" t="s">
        <v>43</v>
      </c>
      <c r="J37" s="5" t="s">
        <v>169</v>
      </c>
    </row>
    <row r="38" spans="1:10" s="5" customFormat="1" x14ac:dyDescent="0.25">
      <c r="A38" s="7" t="s">
        <v>170</v>
      </c>
      <c r="B38" s="7" t="s">
        <v>171</v>
      </c>
      <c r="C38" s="7" t="s">
        <v>172</v>
      </c>
      <c r="D38" s="7" t="s">
        <v>37</v>
      </c>
      <c r="E38" s="7" t="s">
        <v>50</v>
      </c>
      <c r="F38" s="7" t="s">
        <v>50</v>
      </c>
      <c r="G38" s="7" t="s">
        <v>50</v>
      </c>
      <c r="H38" s="7" t="s">
        <v>50</v>
      </c>
      <c r="I38" s="8" t="s">
        <v>28</v>
      </c>
      <c r="J38" s="7" t="s">
        <v>173</v>
      </c>
    </row>
    <row r="39" spans="1:10" s="5" customFormat="1" x14ac:dyDescent="0.25">
      <c r="A39" s="5" t="s">
        <v>174</v>
      </c>
      <c r="B39" s="5" t="s">
        <v>171</v>
      </c>
      <c r="C39" s="5" t="s">
        <v>175</v>
      </c>
      <c r="D39" s="5" t="s">
        <v>141</v>
      </c>
      <c r="E39" s="5" t="s">
        <v>142</v>
      </c>
      <c r="F39" s="5" t="s">
        <v>142</v>
      </c>
      <c r="G39" s="5" t="s">
        <v>142</v>
      </c>
      <c r="H39" s="5" t="s">
        <v>142</v>
      </c>
      <c r="I39" s="6" t="s">
        <v>28</v>
      </c>
      <c r="J39" s="5" t="s">
        <v>176</v>
      </c>
    </row>
    <row r="40" spans="1:10" s="5" customFormat="1" x14ac:dyDescent="0.25">
      <c r="A40" s="7" t="s">
        <v>177</v>
      </c>
      <c r="B40" s="7" t="s">
        <v>171</v>
      </c>
      <c r="C40" s="7" t="s">
        <v>178</v>
      </c>
      <c r="D40" s="7" t="s">
        <v>37</v>
      </c>
      <c r="E40" s="7" t="s">
        <v>179</v>
      </c>
      <c r="F40" s="7" t="s">
        <v>179</v>
      </c>
      <c r="G40" s="7" t="s">
        <v>179</v>
      </c>
      <c r="H40" s="7" t="s">
        <v>179</v>
      </c>
      <c r="I40" s="8" t="s">
        <v>28</v>
      </c>
      <c r="J40" s="7" t="s">
        <v>173</v>
      </c>
    </row>
    <row r="41" spans="1:10" s="5" customFormat="1" x14ac:dyDescent="0.25">
      <c r="A41" s="5" t="s">
        <v>180</v>
      </c>
      <c r="B41" s="5" t="s">
        <v>171</v>
      </c>
      <c r="C41" s="5" t="s">
        <v>181</v>
      </c>
      <c r="D41" s="5" t="s">
        <v>37</v>
      </c>
      <c r="E41" s="5" t="s">
        <v>182</v>
      </c>
      <c r="F41" s="5" t="s">
        <v>182</v>
      </c>
      <c r="G41" s="5" t="s">
        <v>182</v>
      </c>
      <c r="H41" s="5" t="s">
        <v>182</v>
      </c>
      <c r="I41" s="6" t="s">
        <v>28</v>
      </c>
      <c r="J41" s="5" t="s">
        <v>183</v>
      </c>
    </row>
    <row r="42" spans="1:10" s="5" customFormat="1" x14ac:dyDescent="0.25">
      <c r="A42" s="7" t="s">
        <v>184</v>
      </c>
      <c r="B42" s="7" t="s">
        <v>185</v>
      </c>
      <c r="C42" s="7" t="s">
        <v>186</v>
      </c>
      <c r="D42" s="7" t="s">
        <v>37</v>
      </c>
      <c r="E42" s="7" t="s">
        <v>187</v>
      </c>
      <c r="F42" s="7" t="s">
        <v>187</v>
      </c>
      <c r="G42" s="7" t="s">
        <v>187</v>
      </c>
      <c r="H42" s="7" t="s">
        <v>187</v>
      </c>
      <c r="I42" s="8" t="s">
        <v>28</v>
      </c>
      <c r="J42" s="7" t="s">
        <v>152</v>
      </c>
    </row>
    <row r="43" spans="1:10" s="5" customFormat="1" x14ac:dyDescent="0.25">
      <c r="A43" s="5" t="s">
        <v>188</v>
      </c>
      <c r="B43" s="5" t="s">
        <v>185</v>
      </c>
      <c r="C43" s="5" t="s">
        <v>189</v>
      </c>
      <c r="D43" s="5" t="s">
        <v>37</v>
      </c>
      <c r="E43" s="5" t="s">
        <v>50</v>
      </c>
      <c r="F43" s="5" t="s">
        <v>50</v>
      </c>
      <c r="G43" s="5" t="s">
        <v>50</v>
      </c>
      <c r="H43" s="5" t="s">
        <v>50</v>
      </c>
      <c r="I43" s="12" t="s">
        <v>52</v>
      </c>
      <c r="J43" s="5" t="s">
        <v>152</v>
      </c>
    </row>
    <row r="44" spans="1:10" s="5" customFormat="1" x14ac:dyDescent="0.25">
      <c r="A44" s="7" t="s">
        <v>190</v>
      </c>
      <c r="B44" s="7" t="s">
        <v>191</v>
      </c>
      <c r="C44" s="7" t="s">
        <v>192</v>
      </c>
      <c r="D44" s="7" t="s">
        <v>37</v>
      </c>
      <c r="E44" s="7" t="s">
        <v>193</v>
      </c>
      <c r="F44" s="7" t="s">
        <v>193</v>
      </c>
      <c r="G44" s="7" t="s">
        <v>193</v>
      </c>
      <c r="H44" s="7" t="s">
        <v>193</v>
      </c>
      <c r="I44" s="8" t="s">
        <v>28</v>
      </c>
      <c r="J44" s="7" t="s">
        <v>39</v>
      </c>
    </row>
    <row r="45" spans="1:10" s="5" customFormat="1" x14ac:dyDescent="0.25">
      <c r="A45" s="5" t="s">
        <v>194</v>
      </c>
      <c r="B45" s="5" t="s">
        <v>191</v>
      </c>
      <c r="C45" s="5" t="s">
        <v>195</v>
      </c>
      <c r="D45" s="5" t="s">
        <v>196</v>
      </c>
      <c r="E45" s="5" t="s">
        <v>197</v>
      </c>
      <c r="F45" s="5" t="s">
        <v>148</v>
      </c>
      <c r="G45" s="5" t="s">
        <v>148</v>
      </c>
      <c r="H45" s="5" t="s">
        <v>148</v>
      </c>
      <c r="I45" s="6" t="s">
        <v>28</v>
      </c>
      <c r="J45" s="5" t="s">
        <v>198</v>
      </c>
    </row>
    <row r="46" spans="1:10" s="5" customFormat="1" x14ac:dyDescent="0.25">
      <c r="A46" s="7" t="s">
        <v>199</v>
      </c>
      <c r="B46" s="7" t="s">
        <v>200</v>
      </c>
      <c r="C46" s="7" t="s">
        <v>201</v>
      </c>
      <c r="D46" s="7" t="s">
        <v>202</v>
      </c>
      <c r="E46" s="7" t="s">
        <v>37</v>
      </c>
      <c r="F46" s="7" t="s">
        <v>37</v>
      </c>
      <c r="G46" s="7" t="s">
        <v>37</v>
      </c>
      <c r="H46" s="7" t="s">
        <v>203</v>
      </c>
      <c r="I46" s="8" t="s">
        <v>28</v>
      </c>
      <c r="J46" s="7" t="s">
        <v>204</v>
      </c>
    </row>
    <row r="47" spans="1:10" s="5" customFormat="1" x14ac:dyDescent="0.25">
      <c r="A47" s="5" t="s">
        <v>205</v>
      </c>
      <c r="B47" s="5" t="s">
        <v>206</v>
      </c>
      <c r="C47" s="5" t="s">
        <v>207</v>
      </c>
      <c r="D47" s="5" t="s">
        <v>42</v>
      </c>
      <c r="E47" s="5" t="s">
        <v>162</v>
      </c>
      <c r="F47" s="5" t="s">
        <v>162</v>
      </c>
      <c r="G47" s="5" t="s">
        <v>162</v>
      </c>
      <c r="H47" s="5" t="s">
        <v>162</v>
      </c>
      <c r="I47" s="6" t="s">
        <v>28</v>
      </c>
      <c r="J47" s="5" t="s">
        <v>208</v>
      </c>
    </row>
    <row r="48" spans="1:10" s="5" customFormat="1" x14ac:dyDescent="0.25">
      <c r="A48" s="7" t="s">
        <v>209</v>
      </c>
      <c r="B48" s="7" t="s">
        <v>206</v>
      </c>
      <c r="C48" s="7" t="s">
        <v>210</v>
      </c>
      <c r="D48" s="7" t="s">
        <v>202</v>
      </c>
      <c r="E48" s="7" t="s">
        <v>211</v>
      </c>
      <c r="F48" s="7" t="s">
        <v>211</v>
      </c>
      <c r="G48" s="7" t="s">
        <v>211</v>
      </c>
      <c r="H48" s="7" t="s">
        <v>211</v>
      </c>
      <c r="I48" s="8" t="s">
        <v>28</v>
      </c>
      <c r="J48" s="7" t="s">
        <v>212</v>
      </c>
    </row>
    <row r="49" spans="1:10" s="5" customFormat="1" x14ac:dyDescent="0.25">
      <c r="A49" s="5" t="s">
        <v>213</v>
      </c>
      <c r="B49" s="5" t="s">
        <v>206</v>
      </c>
      <c r="C49" s="5" t="s">
        <v>214</v>
      </c>
      <c r="D49" s="5" t="s">
        <v>141</v>
      </c>
      <c r="E49" s="5" t="s">
        <v>215</v>
      </c>
      <c r="F49" s="5" t="s">
        <v>215</v>
      </c>
      <c r="G49" s="5" t="s">
        <v>215</v>
      </c>
      <c r="H49" s="5" t="s">
        <v>215</v>
      </c>
      <c r="I49" s="10" t="s">
        <v>43</v>
      </c>
      <c r="J49" s="5" t="s">
        <v>216</v>
      </c>
    </row>
  </sheetData>
  <autoFilter ref="A4:K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22" customWidth="1"/>
    <col min="2" max="3" width="14" customWidth="1"/>
    <col min="4" max="4" width="18" customWidth="1"/>
    <col min="5" max="5" width="20" customWidth="1"/>
    <col min="6" max="6" width="16" customWidth="1"/>
    <col min="7" max="7" width="34" customWidth="1"/>
    <col min="8" max="8" width="70" customWidth="1"/>
  </cols>
  <sheetData>
    <row r="1" spans="1:1" x14ac:dyDescent="0.25">
      <c r="A1" s="1" t="s">
        <v>217</v>
      </c>
    </row>
    <row r="2" spans="1:1" x14ac:dyDescent="0.25">
      <c r="A2" s="2" t="s">
        <v>218</v>
      </c>
    </row>
    <row r="4" ht="30" customHeight="1" spans="1:8" x14ac:dyDescent="0.25">
      <c r="A4" s="4" t="s">
        <v>219</v>
      </c>
      <c r="B4" s="4" t="s">
        <v>220</v>
      </c>
      <c r="C4" s="4" t="s">
        <v>221</v>
      </c>
      <c r="D4" s="4" t="s">
        <v>222</v>
      </c>
      <c r="E4" s="4" t="s">
        <v>223</v>
      </c>
      <c r="F4" s="4" t="s">
        <v>224</v>
      </c>
      <c r="G4" s="4" t="s">
        <v>225</v>
      </c>
      <c r="H4" s="4" t="s">
        <v>20</v>
      </c>
    </row>
    <row r="5" spans="1:8" s="5" customFormat="1" x14ac:dyDescent="0.25">
      <c r="A5" s="5" t="s">
        <v>14</v>
      </c>
      <c r="B5" s="5">
        <v>95</v>
      </c>
      <c r="C5" s="5">
        <v>36</v>
      </c>
      <c r="D5" s="5">
        <v>400</v>
      </c>
      <c r="E5" s="5" t="s">
        <v>226</v>
      </c>
      <c r="F5" s="5">
        <v>60</v>
      </c>
      <c r="G5" s="5" t="s">
        <v>227</v>
      </c>
      <c r="H5" s="5" t="s">
        <v>148</v>
      </c>
    </row>
    <row r="6" spans="1:8" s="5" customFormat="1" x14ac:dyDescent="0.25">
      <c r="A6" s="5" t="s">
        <v>15</v>
      </c>
      <c r="B6" s="5">
        <v>95</v>
      </c>
      <c r="C6" s="5">
        <v>36</v>
      </c>
      <c r="D6" s="5">
        <v>400</v>
      </c>
      <c r="E6" s="5" t="s">
        <v>228</v>
      </c>
      <c r="F6" s="5">
        <v>45</v>
      </c>
      <c r="G6" s="5" t="s">
        <v>227</v>
      </c>
      <c r="H6" s="5" t="s">
        <v>148</v>
      </c>
    </row>
    <row r="7" spans="1:8" s="5" customFormat="1" x14ac:dyDescent="0.25">
      <c r="A7" s="5" t="s">
        <v>16</v>
      </c>
      <c r="B7" s="5">
        <v>70</v>
      </c>
      <c r="C7" s="5">
        <v>28</v>
      </c>
      <c r="D7" s="5">
        <v>250</v>
      </c>
      <c r="E7" s="5" t="s">
        <v>229</v>
      </c>
      <c r="F7" s="5">
        <v>180</v>
      </c>
      <c r="G7" s="5" t="s">
        <v>230</v>
      </c>
      <c r="H7" s="5" t="s">
        <v>231</v>
      </c>
    </row>
    <row r="8" spans="1:8" s="5" customFormat="1" x14ac:dyDescent="0.25">
      <c r="A8" s="5" t="s">
        <v>232</v>
      </c>
      <c r="B8" s="5">
        <v>80</v>
      </c>
      <c r="C8" s="5">
        <v>32</v>
      </c>
      <c r="D8" s="5">
        <v>160</v>
      </c>
      <c r="E8" s="5" t="s">
        <v>233</v>
      </c>
      <c r="F8" s="5">
        <v>30</v>
      </c>
      <c r="G8" s="5" t="s">
        <v>234</v>
      </c>
      <c r="H8" s="5" t="s">
        <v>235</v>
      </c>
    </row>
    <row r="9" spans="1:8" s="5" customFormat="1" x14ac:dyDescent="0.25">
      <c r="A9" s="5" t="s">
        <v>236</v>
      </c>
      <c r="B9" s="5">
        <v>60</v>
      </c>
      <c r="C9" s="5">
        <v>30</v>
      </c>
      <c r="D9" s="5">
        <v>100</v>
      </c>
      <c r="E9" s="5" t="s">
        <v>237</v>
      </c>
      <c r="F9" s="5">
        <v>25</v>
      </c>
      <c r="G9" s="5" t="s">
        <v>234</v>
      </c>
      <c r="H9" s="5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44" customWidth="1"/>
    <col min="2" max="2" width="16" style="13" customWidth="1"/>
    <col min="3" max="3" width="20" style="13" customWidth="1"/>
    <col min="4" max="4" width="18" style="13" customWidth="1"/>
  </cols>
  <sheetData>
    <row r="1" spans="1:4" x14ac:dyDescent="0.25">
      <c r="A1" s="1" t="s">
        <v>239</v>
      </c>
      <c r="B1" s="13"/>
      <c r="C1" s="13"/>
      <c r="D1" s="13"/>
    </row>
    <row r="2" spans="1:4" x14ac:dyDescent="0.25">
      <c r="A2" s="2" t="s">
        <v>240</v>
      </c>
      <c r="B2" s="13"/>
      <c r="C2" s="13"/>
      <c r="D2" s="13"/>
    </row>
    <row r="4" ht="30" customHeight="1" spans="1:4" x14ac:dyDescent="0.25">
      <c r="A4" s="4" t="s">
        <v>219</v>
      </c>
      <c r="B4" s="14" t="s">
        <v>241</v>
      </c>
      <c r="C4" s="14" t="s">
        <v>242</v>
      </c>
      <c r="D4" s="14" t="s">
        <v>243</v>
      </c>
    </row>
    <row r="5" spans="1:4" x14ac:dyDescent="0.25">
      <c r="A5" t="s">
        <v>14</v>
      </c>
      <c r="B5" s="13">
        <v>1400</v>
      </c>
      <c r="C5" s="13">
        <v>360</v>
      </c>
      <c r="D5" s="13">
        <f>B5*C5</f>
        <v>504000</v>
      </c>
    </row>
    <row r="6" spans="1:4" x14ac:dyDescent="0.25">
      <c r="A6" t="s">
        <v>15</v>
      </c>
      <c r="B6" s="13">
        <v>1000</v>
      </c>
      <c r="C6" s="13">
        <v>360</v>
      </c>
      <c r="D6" s="13">
        <f>B6*C6</f>
        <v>360000</v>
      </c>
    </row>
    <row r="7" spans="1:4" x14ac:dyDescent="0.25">
      <c r="A7" t="s">
        <v>16</v>
      </c>
      <c r="B7" s="13">
        <v>600</v>
      </c>
      <c r="C7" s="13">
        <v>360</v>
      </c>
      <c r="D7" s="13">
        <f>B7*C7</f>
        <v>216000</v>
      </c>
    </row>
    <row r="8" spans="1:4" x14ac:dyDescent="0.25">
      <c r="A8" t="s">
        <v>17</v>
      </c>
      <c r="B8" s="13">
        <v>300</v>
      </c>
      <c r="C8" s="13">
        <v>300</v>
      </c>
      <c r="D8" s="13">
        <f>B8*C8</f>
        <v>90000</v>
      </c>
    </row>
    <row r="10" spans="1:4" x14ac:dyDescent="0.25">
      <c r="A10" t="s">
        <v>244</v>
      </c>
      <c r="B10" s="13"/>
      <c r="C10" s="13">
        <f>SUM(D5:D8)</f>
        <v>1170000</v>
      </c>
      <c r="D10" s="13"/>
    </row>
    <row r="11" spans="1:4" x14ac:dyDescent="0.25">
      <c r="A11" t="s">
        <v>245</v>
      </c>
      <c r="B11" s="13"/>
      <c r="C11" s="13">
        <v>45</v>
      </c>
      <c r="D11" s="13"/>
    </row>
    <row r="12" spans="1:4" x14ac:dyDescent="0.25">
      <c r="A12" t="s">
        <v>246</v>
      </c>
      <c r="B12" s="13"/>
      <c r="C12" s="13">
        <v>5</v>
      </c>
      <c r="D12" s="1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2" customWidth="1"/>
    <col min="2" max="2" width="12" customWidth="1"/>
    <col min="3" max="3" width="34" customWidth="1"/>
  </cols>
  <sheetData>
    <row r="1" spans="1:1" x14ac:dyDescent="0.25">
      <c r="A1" s="1" t="s">
        <v>247</v>
      </c>
    </row>
    <row r="2" spans="1:1" x14ac:dyDescent="0.25">
      <c r="A2" s="2" t="s">
        <v>248</v>
      </c>
    </row>
    <row r="4" ht="30" customHeight="1" spans="1:3" x14ac:dyDescent="0.25">
      <c r="A4" s="4" t="s">
        <v>249</v>
      </c>
      <c r="B4" s="4" t="s">
        <v>250</v>
      </c>
      <c r="C4" s="4" t="s">
        <v>251</v>
      </c>
    </row>
    <row r="5" spans="1:3" x14ac:dyDescent="0.25">
      <c r="A5" t="s">
        <v>252</v>
      </c>
      <c r="B5">
        <v>12</v>
      </c>
      <c r="C5" t="s">
        <v>253</v>
      </c>
    </row>
    <row r="6" spans="1:3" x14ac:dyDescent="0.25">
      <c r="A6" t="s">
        <v>254</v>
      </c>
      <c r="B6">
        <v>6</v>
      </c>
      <c r="C6" t="s">
        <v>255</v>
      </c>
    </row>
    <row r="7" spans="1:3" x14ac:dyDescent="0.25">
      <c r="A7" t="s">
        <v>256</v>
      </c>
      <c r="B7">
        <v>4</v>
      </c>
      <c r="C7" t="s">
        <v>255</v>
      </c>
    </row>
    <row r="8" spans="1:3" x14ac:dyDescent="0.25">
      <c r="A8" t="s">
        <v>257</v>
      </c>
      <c r="B8">
        <v>2</v>
      </c>
      <c r="C8" t="s">
        <v>258</v>
      </c>
    </row>
    <row r="9" spans="1:3" s="15" customFormat="1" x14ac:dyDescent="0.25">
      <c r="A9" s="15" t="s">
        <v>259</v>
      </c>
      <c r="B9" s="15">
        <f>SUM(B5:B8)</f>
        <v>24</v>
      </c>
      <c r="C9" s="15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8" customWidth="1"/>
    <col min="2" max="2" width="16" customWidth="1"/>
    <col min="3" max="3" width="80" customWidth="1"/>
  </cols>
  <sheetData>
    <row r="1" spans="1:1" x14ac:dyDescent="0.25">
      <c r="A1" s="1" t="s">
        <v>260</v>
      </c>
    </row>
    <row r="2" spans="1:1" x14ac:dyDescent="0.25">
      <c r="A2" s="2" t="s">
        <v>148</v>
      </c>
    </row>
    <row r="4" ht="30" customHeight="1" spans="1:3" x14ac:dyDescent="0.25">
      <c r="A4" s="4" t="s">
        <v>261</v>
      </c>
      <c r="B4" s="4" t="s">
        <v>262</v>
      </c>
      <c r="C4" s="4" t="s">
        <v>263</v>
      </c>
    </row>
    <row r="5" spans="1:3" x14ac:dyDescent="0.25">
      <c r="A5">
        <v>0</v>
      </c>
      <c r="B5" t="s">
        <v>264</v>
      </c>
      <c r="C5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Technical specs</vt:lpstr>
      <vt:lpstr>Site constraints</vt:lpstr>
      <vt:lpstr>Volumes &amp; storage</vt:lpstr>
      <vt:lpstr>Workstations</vt:lpstr>
      <vt:lpstr>Revision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Northern Gulf Ports Authority (SAMPLE)</dc:creator>
  <dc:title/>
  <dc:subject/>
  <dc:description/>
  <cp:keywords/>
  <cp:category/>
  <cp:lastModifiedBy>Unknown</cp:lastModifiedBy>
  <dcterms:created xsi:type="dcterms:W3CDTF">2026-09-15T08:00:00Z</dcterms:created>
  <dcterms:modified xsi:type="dcterms:W3CDTF">2026-10-21T07:27:47Z</dcterms:modified>
</cp:coreProperties>
</file>